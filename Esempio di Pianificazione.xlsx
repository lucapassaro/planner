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.passaro\Downloads\"/>
    </mc:Choice>
  </mc:AlternateContent>
  <xr:revisionPtr revIDLastSave="0" documentId="8_{4D339C3D-6235-4EC2-901D-5529FC7EABF4}" xr6:coauthVersionLast="47" xr6:coauthVersionMax="47" xr10:uidLastSave="{00000000-0000-0000-0000-000000000000}"/>
  <bookViews>
    <workbookView xWindow="-110" yWindow="-110" windowWidth="19420" windowHeight="10300" xr2:uid="{0FA22C17-F17D-4CFE-BD92-5EF66300803E}"/>
  </bookViews>
  <sheets>
    <sheet name="Scheduling Feq-Data" sheetId="3" r:id="rId1"/>
  </sheets>
  <externalReferences>
    <externalReference r:id="rId2"/>
  </externalReferences>
  <definedNames>
    <definedName name="AmbienteRilascio">#REF!</definedName>
    <definedName name="Esito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rojectProgress">#REF!</definedName>
    <definedName name="projectStatus">#REF!</definedName>
    <definedName name="SI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3" l="1"/>
  <c r="Q21" i="3"/>
  <c r="P19" i="3"/>
  <c r="O19" i="3"/>
  <c r="N19" i="3"/>
  <c r="M19" i="3"/>
  <c r="L19" i="3"/>
  <c r="K19" i="3"/>
  <c r="J19" i="3"/>
  <c r="I19" i="3"/>
  <c r="H19" i="3"/>
  <c r="G19" i="3"/>
  <c r="F19" i="3"/>
  <c r="E19" i="3"/>
  <c r="P16" i="3"/>
  <c r="P23" i="3" s="1"/>
  <c r="O16" i="3"/>
  <c r="N16" i="3"/>
  <c r="N23" i="3" s="1"/>
  <c r="M16" i="3"/>
  <c r="L16" i="3"/>
  <c r="L18" i="3" s="1"/>
  <c r="K16" i="3"/>
  <c r="J16" i="3"/>
  <c r="I16" i="3"/>
  <c r="H16" i="3"/>
  <c r="H23" i="3" s="1"/>
  <c r="G16" i="3"/>
  <c r="G23" i="3" s="1"/>
  <c r="F16" i="3"/>
  <c r="F23" i="3" s="1"/>
  <c r="E16" i="3"/>
  <c r="E23" i="3" s="1"/>
  <c r="Q15" i="3"/>
  <c r="Q14" i="3"/>
  <c r="Q13" i="3"/>
  <c r="Q12" i="3"/>
  <c r="Q11" i="3"/>
  <c r="Q10" i="3"/>
  <c r="Q9" i="3"/>
  <c r="Q8" i="3"/>
  <c r="Q7" i="3"/>
  <c r="Q6" i="3"/>
  <c r="Q5" i="3"/>
  <c r="Q4" i="3"/>
  <c r="Q3" i="3"/>
  <c r="P2" i="3"/>
  <c r="P20" i="3" s="1"/>
  <c r="O2" i="3"/>
  <c r="O20" i="3" s="1"/>
  <c r="N2" i="3"/>
  <c r="N20" i="3" s="1"/>
  <c r="M2" i="3"/>
  <c r="M20" i="3" s="1"/>
  <c r="L2" i="3"/>
  <c r="L20" i="3" s="1"/>
  <c r="K2" i="3"/>
  <c r="K17" i="3" s="1"/>
  <c r="K22" i="3" s="1"/>
  <c r="J2" i="3"/>
  <c r="J17" i="3" s="1"/>
  <c r="J22" i="3" s="1"/>
  <c r="I2" i="3"/>
  <c r="I17" i="3" s="1"/>
  <c r="I22" i="3" s="1"/>
  <c r="H2" i="3"/>
  <c r="H17" i="3" s="1"/>
  <c r="H22" i="3" s="1"/>
  <c r="G2" i="3"/>
  <c r="G17" i="3" s="1"/>
  <c r="G22" i="3" s="1"/>
  <c r="F2" i="3"/>
  <c r="F17" i="3" s="1"/>
  <c r="E2" i="3"/>
  <c r="E17" i="3" s="1"/>
  <c r="J20" i="3" l="1"/>
  <c r="K20" i="3"/>
  <c r="J18" i="3"/>
  <c r="N17" i="3"/>
  <c r="N22" i="3" s="1"/>
  <c r="Q19" i="3"/>
  <c r="K18" i="3"/>
  <c r="P17" i="3"/>
  <c r="I20" i="3"/>
  <c r="G24" i="3"/>
  <c r="H24" i="3"/>
  <c r="K23" i="3"/>
  <c r="K24" i="3" s="1"/>
  <c r="L23" i="3"/>
  <c r="L24" i="3" s="1"/>
  <c r="O23" i="3"/>
  <c r="M17" i="3"/>
  <c r="M22" i="3" s="1"/>
  <c r="M24" i="3" s="1"/>
  <c r="N24" i="3"/>
  <c r="F20" i="3"/>
  <c r="O17" i="3"/>
  <c r="O22" i="3" s="1"/>
  <c r="G20" i="3"/>
  <c r="E22" i="3"/>
  <c r="E18" i="3"/>
  <c r="F18" i="3"/>
  <c r="F22" i="3"/>
  <c r="F24" i="3" s="1"/>
  <c r="I18" i="3"/>
  <c r="Q2" i="3"/>
  <c r="I23" i="3"/>
  <c r="E20" i="3"/>
  <c r="J23" i="3"/>
  <c r="J24" i="3" s="1"/>
  <c r="H20" i="3"/>
  <c r="M23" i="3"/>
  <c r="Q16" i="3"/>
  <c r="H18" i="3"/>
  <c r="G18" i="3"/>
  <c r="N18" i="3" l="1"/>
  <c r="O24" i="3"/>
  <c r="O18" i="3"/>
  <c r="Q23" i="3"/>
  <c r="P22" i="3"/>
  <c r="P24" i="3" s="1"/>
  <c r="P18" i="3"/>
  <c r="Q17" i="3"/>
  <c r="M18" i="3"/>
  <c r="I24" i="3"/>
  <c r="Q18" i="3"/>
  <c r="Q20" i="3"/>
  <c r="Q22" i="3"/>
  <c r="E24" i="3"/>
  <c r="Q24" i="3" s="1"/>
</calcChain>
</file>

<file path=xl/sharedStrings.xml><?xml version="1.0" encoding="utf-8"?>
<sst xmlns="http://schemas.openxmlformats.org/spreadsheetml/2006/main" count="70" uniqueCount="29">
  <si>
    <t>Tipo</t>
  </si>
  <si>
    <t>WBS</t>
  </si>
  <si>
    <t>Attività evo</t>
  </si>
  <si>
    <t>Totale</t>
  </si>
  <si>
    <t>AM</t>
  </si>
  <si>
    <t>Function</t>
  </si>
  <si>
    <t>EVO</t>
  </si>
  <si>
    <t>Migrazione ETL Metorikku</t>
  </si>
  <si>
    <t>FEQ</t>
  </si>
  <si>
    <t>Upgrade versioni OracleJDK ed OpenJDK</t>
  </si>
  <si>
    <t>FEQ - pre compilazione per il QAdV_Cliente</t>
  </si>
  <si>
    <t>FEQ - schede gestore widiba</t>
  </si>
  <si>
    <t>FEQ - integrazione allin in nobis</t>
  </si>
  <si>
    <t>Geres - Integrazione Nobis</t>
  </si>
  <si>
    <t>Geres - Nobis migrazione dati</t>
  </si>
  <si>
    <t>DATA</t>
  </si>
  <si>
    <t>DQ Tool</t>
  </si>
  <si>
    <t>Pension</t>
  </si>
  <si>
    <t>AM Control Function</t>
  </si>
  <si>
    <t>AM FEQ</t>
  </si>
  <si>
    <t>EVO + AM</t>
  </si>
  <si>
    <t xml:space="preserve">GG lavorativi </t>
  </si>
  <si>
    <t>FTE AM</t>
  </si>
  <si>
    <t>FTE EVO</t>
  </si>
  <si>
    <t>FTE TOT</t>
  </si>
  <si>
    <t>TEAM</t>
  </si>
  <si>
    <t>Evolutive processi AML: modifiche al QADV modalità Contingency</t>
  </si>
  <si>
    <t>FEQ - integrazione Universo</t>
  </si>
  <si>
    <t>MondoDoc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</si>
</sst>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8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</cellStyleXfs>
  <cellXfs count="31">
    <xf numFmtId="0" fontId="0" fillId="0" borderId="0" xfId="0"/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/>
    <xf numFmtId="17" fontId="3" fillId="6" borderId="1" xfId="0" applyNumberFormat="1" applyFont="1" applyFill="1" applyBorder="1"/>
    <xf numFmtId="0" fontId="3" fillId="6" borderId="1" xfId="0" applyFont="1" applyFill="1" applyBorder="1"/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/>
    <xf numFmtId="0" fontId="2" fillId="4" borderId="1" xfId="0" applyFont="1" applyFill="1" applyBorder="1" applyAlignment="1">
      <alignment vertical="center"/>
    </xf>
    <xf numFmtId="0" fontId="2" fillId="0" borderId="1" xfId="0" applyFont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/>
    <xf numFmtId="0" fontId="2" fillId="2" borderId="2" xfId="0" applyFont="1" applyFill="1" applyBorder="1"/>
    <xf numFmtId="0" fontId="3" fillId="6" borderId="2" xfId="0" applyFont="1" applyFill="1" applyBorder="1"/>
    <xf numFmtId="0" fontId="2" fillId="0" borderId="3" xfId="0" applyFont="1" applyBorder="1" applyAlignment="1">
      <alignment horizontal="left" vertical="center"/>
    </xf>
    <xf numFmtId="0" fontId="2" fillId="0" borderId="3" xfId="0" applyFont="1" applyBorder="1"/>
    <xf numFmtId="1" fontId="2" fillId="5" borderId="3" xfId="0" applyNumberFormat="1" applyFont="1" applyFill="1" applyBorder="1"/>
    <xf numFmtId="0" fontId="3" fillId="5" borderId="3" xfId="0" applyFont="1" applyFill="1" applyBorder="1"/>
    <xf numFmtId="1" fontId="2" fillId="5" borderId="1" xfId="0" applyNumberFormat="1" applyFont="1" applyFill="1" applyBorder="1"/>
    <xf numFmtId="1" fontId="2" fillId="3" borderId="1" xfId="0" applyNumberFormat="1" applyFont="1" applyFill="1" applyBorder="1"/>
    <xf numFmtId="0" fontId="3" fillId="5" borderId="1" xfId="0" applyFont="1" applyFill="1" applyBorder="1"/>
    <xf numFmtId="168" fontId="2" fillId="5" borderId="1" xfId="0" applyNumberFormat="1" applyFont="1" applyFill="1" applyBorder="1"/>
    <xf numFmtId="164" fontId="3" fillId="5" borderId="1" xfId="2" applyNumberFormat="1" applyFont="1" applyFill="1" applyBorder="1"/>
    <xf numFmtId="9" fontId="2" fillId="0" borderId="0" xfId="1" applyFont="1"/>
    <xf numFmtId="0" fontId="2" fillId="0" borderId="0" xfId="0" applyFont="1" applyAlignment="1">
      <alignment horizontal="left" vertical="center"/>
    </xf>
  </cellXfs>
  <cellStyles count="6">
    <cellStyle name="Migliaia 2 2" xfId="3" xr:uid="{3F2E4EDB-BAF0-4696-A6EB-B7B24FA64F7D}"/>
    <cellStyle name="Migliaia 3" xfId="2" xr:uid="{941562C9-6F92-4CDE-90DC-D327C67FD4D7}"/>
    <cellStyle name="Normal 19" xfId="5" xr:uid="{3CEAB6DF-FFA8-4C30-A44B-6A0C14D18766}"/>
    <cellStyle name="Normale" xfId="0" builtinId="0"/>
    <cellStyle name="Percentuale" xfId="1" builtinId="5"/>
    <cellStyle name="Valuta 4" xfId="4" xr:uid="{01D79D1C-B6FB-4B7B-ABFC-3EA4C0F08F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inconsspa.sharepoint.com/sites/GovernanceFunctionsDistribution/Shared%20Documents/Generale/4.0%20PIANI/2026.01.13_Pianificazione_v2.2.xlsx" TargetMode="External"/><Relationship Id="rId1" Type="http://schemas.openxmlformats.org/officeDocument/2006/relationships/externalLinkPath" Target="https://finconsspa.sharepoint.com/sites/GovernanceFunctionsDistribution/Shared%20Documents/Generale/4.0%20PIANI/2026.01.13_Pianificazione_v2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ntesi"/>
      <sheetName val="Commessa al 31.12.26"/>
      <sheetName val="Offerte_Pipeline_2026"/>
      <sheetName val="SAP"/>
      <sheetName val="Funzionali"/>
      <sheetName val="Riporti 2025-2026"/>
      <sheetName val="Elenco offerte BA"/>
      <sheetName val="Focus AML"/>
      <sheetName val="Scheduling Anto&amp;Anto"/>
      <sheetName val="Scheduling 2026"/>
      <sheetName val="Scheduling Feq-Data"/>
      <sheetName val="Scheduling AML"/>
      <sheetName val="Stime_2026"/>
      <sheetName val="Sintesi_FTC"/>
      <sheetName val="Consuntivi 2026"/>
      <sheetName val="Estrazione FTC"/>
      <sheetName val="Festività"/>
      <sheetName val="validazioni"/>
      <sheetName val="Macro-plan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G2">
            <v>46023</v>
          </cell>
          <cell r="H2">
            <v>46054</v>
          </cell>
          <cell r="I2">
            <v>46082</v>
          </cell>
          <cell r="J2">
            <v>46113</v>
          </cell>
          <cell r="K2">
            <v>46143</v>
          </cell>
          <cell r="L2">
            <v>46174</v>
          </cell>
          <cell r="M2">
            <v>46204</v>
          </cell>
          <cell r="N2">
            <v>46235</v>
          </cell>
          <cell r="O2">
            <v>46266</v>
          </cell>
          <cell r="P2">
            <v>46296</v>
          </cell>
          <cell r="Q2">
            <v>46327</v>
          </cell>
          <cell r="R2">
            <v>46357</v>
          </cell>
        </row>
        <row r="37">
          <cell r="G37">
            <v>3.7647058823529411</v>
          </cell>
          <cell r="H37">
            <v>3.2</v>
          </cell>
          <cell r="I37">
            <v>2.7826086956521738</v>
          </cell>
          <cell r="J37">
            <v>3.5555555555555554</v>
          </cell>
          <cell r="K37">
            <v>3.3684210526315788</v>
          </cell>
          <cell r="L37">
            <v>2.9090909090909092</v>
          </cell>
          <cell r="M37">
            <v>3.2</v>
          </cell>
          <cell r="N37">
            <v>5.8181818181818183</v>
          </cell>
          <cell r="O37">
            <v>2.9090909090909092</v>
          </cell>
          <cell r="P37">
            <v>3.2</v>
          </cell>
          <cell r="Q37">
            <v>3.0476190476190474</v>
          </cell>
          <cell r="R37">
            <v>4</v>
          </cell>
        </row>
        <row r="38">
          <cell r="G38">
            <v>3.3137254901960786</v>
          </cell>
          <cell r="H38">
            <v>2.5166666666666666</v>
          </cell>
          <cell r="I38">
            <v>1.0869565217391304</v>
          </cell>
          <cell r="J38">
            <v>1.3888888888888888</v>
          </cell>
          <cell r="K38">
            <v>2.3157894736842106</v>
          </cell>
          <cell r="L38">
            <v>2.3636363636363638</v>
          </cell>
          <cell r="M38">
            <v>1.25</v>
          </cell>
          <cell r="N38">
            <v>0</v>
          </cell>
          <cell r="O38">
            <v>0.45454545454545453</v>
          </cell>
          <cell r="P38">
            <v>0.4</v>
          </cell>
          <cell r="Q38">
            <v>0.14285714285714285</v>
          </cell>
          <cell r="R38">
            <v>0</v>
          </cell>
        </row>
        <row r="39">
          <cell r="G39">
            <v>1.3235294117647058</v>
          </cell>
          <cell r="H39">
            <v>1.2250000000000001</v>
          </cell>
          <cell r="I39">
            <v>1.1521739130434783</v>
          </cell>
          <cell r="J39">
            <v>4.5277777777777777</v>
          </cell>
          <cell r="K39">
            <v>6.0263157894736841</v>
          </cell>
          <cell r="L39">
            <v>5.2045454545454541</v>
          </cell>
          <cell r="M39">
            <v>1.375</v>
          </cell>
          <cell r="N39">
            <v>2.5</v>
          </cell>
          <cell r="O39">
            <v>2.1590909090909092</v>
          </cell>
          <cell r="P39">
            <v>3.875</v>
          </cell>
          <cell r="Q39">
            <v>3.6904761904761907</v>
          </cell>
          <cell r="R39">
            <v>2.96875</v>
          </cell>
        </row>
      </sheetData>
      <sheetData sheetId="10">
        <row r="2">
          <cell r="F2">
            <v>46023</v>
          </cell>
          <cell r="G2">
            <v>46054</v>
          </cell>
          <cell r="H2">
            <v>46082</v>
          </cell>
          <cell r="I2">
            <v>46113</v>
          </cell>
          <cell r="J2">
            <v>46143</v>
          </cell>
          <cell r="K2">
            <v>46174</v>
          </cell>
          <cell r="L2">
            <v>46204</v>
          </cell>
          <cell r="M2">
            <v>46235</v>
          </cell>
          <cell r="N2">
            <v>46266</v>
          </cell>
          <cell r="O2">
            <v>46296</v>
          </cell>
          <cell r="P2">
            <v>46327</v>
          </cell>
          <cell r="Q2">
            <v>46357</v>
          </cell>
        </row>
        <row r="23">
          <cell r="F23">
            <v>1.8823529411764706</v>
          </cell>
          <cell r="G23">
            <v>1.6</v>
          </cell>
          <cell r="H23">
            <v>1.4545454545454546</v>
          </cell>
          <cell r="I23">
            <v>1.7777777777777777</v>
          </cell>
          <cell r="J23">
            <v>1.7777777777777777</v>
          </cell>
          <cell r="K23">
            <v>1.5238095238095237</v>
          </cell>
          <cell r="L23">
            <v>1.6</v>
          </cell>
          <cell r="M23">
            <v>1</v>
          </cell>
          <cell r="N23">
            <v>1.5238095238095237</v>
          </cell>
          <cell r="O23">
            <v>1.6</v>
          </cell>
          <cell r="P23">
            <v>1.6</v>
          </cell>
          <cell r="Q23">
            <v>2</v>
          </cell>
        </row>
        <row r="24">
          <cell r="F24">
            <v>2.2352941176470589</v>
          </cell>
          <cell r="G24">
            <v>2.35</v>
          </cell>
          <cell r="H24">
            <v>1.5454545454545454</v>
          </cell>
          <cell r="I24">
            <v>4.9444444444444446</v>
          </cell>
          <cell r="J24">
            <v>5.3888888888888893</v>
          </cell>
          <cell r="K24">
            <v>3.9047619047619047</v>
          </cell>
          <cell r="L24">
            <v>0</v>
          </cell>
          <cell r="M24">
            <v>0</v>
          </cell>
          <cell r="N24">
            <v>0.95238095238095233</v>
          </cell>
          <cell r="O24">
            <v>1.5</v>
          </cell>
          <cell r="P24">
            <v>1.5</v>
          </cell>
          <cell r="Q24">
            <v>1.25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9D10-F83A-43C6-8F58-525B0ED8F160}">
  <sheetPr>
    <tabColor rgb="FFE3EFF9"/>
  </sheetPr>
  <dimension ref="A1:S135"/>
  <sheetViews>
    <sheetView showGridLines="0" tabSelected="1" zoomScale="70" zoomScaleNormal="70" workbookViewId="0">
      <pane xSplit="1" ySplit="1" topLeftCell="B2" activePane="bottomRight" state="frozen"/>
      <selection activeCell="L9" sqref="L9"/>
      <selection pane="topRight" activeCell="L9" sqref="L9"/>
      <selection pane="bottomLeft" activeCell="L9" sqref="L9"/>
      <selection pane="bottomRight" activeCell="S14" sqref="S14"/>
    </sheetView>
  </sheetViews>
  <sheetFormatPr defaultColWidth="8.90625" defaultRowHeight="12" x14ac:dyDescent="0.3"/>
  <cols>
    <col min="1" max="2" width="7.08984375" style="30" customWidth="1"/>
    <col min="3" max="3" width="11.08984375" style="30" customWidth="1"/>
    <col min="4" max="4" width="48.6328125" style="5" bestFit="1" customWidth="1"/>
    <col min="5" max="16" width="8.90625" style="5"/>
    <col min="17" max="17" width="8.90625" style="5" customWidth="1"/>
    <col min="18" max="18" width="12.453125" style="5" bestFit="1" customWidth="1"/>
    <col min="19" max="19" width="14.6328125" style="5" customWidth="1"/>
    <col min="20" max="20" width="11.08984375" style="5" customWidth="1"/>
    <col min="21" max="16384" width="8.90625" style="5"/>
  </cols>
  <sheetData>
    <row r="1" spans="1:18" ht="14.5" x14ac:dyDescent="0.35">
      <c r="A1" s="1" t="s">
        <v>0</v>
      </c>
      <c r="B1" s="1" t="s">
        <v>1</v>
      </c>
      <c r="C1" s="1" t="s">
        <v>25</v>
      </c>
      <c r="D1" s="2" t="s">
        <v>2</v>
      </c>
      <c r="E1" s="3">
        <v>46023</v>
      </c>
      <c r="F1" s="3">
        <v>46054</v>
      </c>
      <c r="G1" s="3">
        <v>46082</v>
      </c>
      <c r="H1" s="3">
        <v>46113</v>
      </c>
      <c r="I1" s="3">
        <v>46143</v>
      </c>
      <c r="J1" s="3">
        <v>46174</v>
      </c>
      <c r="K1" s="3">
        <v>46204</v>
      </c>
      <c r="L1" s="3">
        <v>46235</v>
      </c>
      <c r="M1" s="3">
        <v>46266</v>
      </c>
      <c r="N1" s="3">
        <v>46296</v>
      </c>
      <c r="O1" s="3">
        <v>46327</v>
      </c>
      <c r="P1" s="3">
        <v>46357</v>
      </c>
      <c r="Q1" s="4" t="s">
        <v>3</v>
      </c>
      <c r="R1"/>
    </row>
    <row r="2" spans="1:18" ht="14.15" customHeight="1" x14ac:dyDescent="0.35">
      <c r="A2" s="6" t="s">
        <v>4</v>
      </c>
      <c r="B2" s="6" t="s">
        <v>5</v>
      </c>
      <c r="C2" s="6" t="s">
        <v>15</v>
      </c>
      <c r="D2" s="7" t="s">
        <v>18</v>
      </c>
      <c r="E2" s="7">
        <f>32-E3</f>
        <v>11</v>
      </c>
      <c r="F2" s="7">
        <f t="shared" ref="F2:P2" si="0">32-F3</f>
        <v>11</v>
      </c>
      <c r="G2" s="7">
        <f t="shared" si="0"/>
        <v>11</v>
      </c>
      <c r="H2" s="7">
        <f t="shared" si="0"/>
        <v>11</v>
      </c>
      <c r="I2" s="7">
        <f t="shared" si="0"/>
        <v>11</v>
      </c>
      <c r="J2" s="7">
        <f t="shared" si="0"/>
        <v>11</v>
      </c>
      <c r="K2" s="7">
        <f t="shared" si="0"/>
        <v>11</v>
      </c>
      <c r="L2" s="7">
        <f t="shared" si="0"/>
        <v>11</v>
      </c>
      <c r="M2" s="7">
        <f t="shared" si="0"/>
        <v>11</v>
      </c>
      <c r="N2" s="7">
        <f t="shared" si="0"/>
        <v>11</v>
      </c>
      <c r="O2" s="7">
        <f t="shared" si="0"/>
        <v>11</v>
      </c>
      <c r="P2" s="7">
        <f t="shared" si="0"/>
        <v>11</v>
      </c>
      <c r="Q2" s="4">
        <f>SUM(E2:P2)</f>
        <v>132</v>
      </c>
      <c r="R2"/>
    </row>
    <row r="3" spans="1:18" ht="14.15" customHeight="1" x14ac:dyDescent="0.35">
      <c r="A3" s="6" t="s">
        <v>4</v>
      </c>
      <c r="B3" s="6" t="s">
        <v>5</v>
      </c>
      <c r="C3" s="6" t="s">
        <v>8</v>
      </c>
      <c r="D3" s="7" t="s">
        <v>19</v>
      </c>
      <c r="E3" s="7">
        <v>21</v>
      </c>
      <c r="F3" s="7">
        <v>21</v>
      </c>
      <c r="G3" s="7">
        <v>21</v>
      </c>
      <c r="H3" s="7">
        <v>21</v>
      </c>
      <c r="I3" s="7">
        <v>21</v>
      </c>
      <c r="J3" s="7">
        <v>21</v>
      </c>
      <c r="K3" s="7">
        <v>21</v>
      </c>
      <c r="L3" s="7">
        <v>21</v>
      </c>
      <c r="M3" s="7">
        <v>21</v>
      </c>
      <c r="N3" s="7">
        <v>21</v>
      </c>
      <c r="O3" s="7">
        <v>21</v>
      </c>
      <c r="P3" s="7">
        <v>21</v>
      </c>
      <c r="Q3" s="4">
        <f t="shared" ref="Q3:Q15" si="1">SUM(E3:P3)</f>
        <v>252</v>
      </c>
      <c r="R3"/>
    </row>
    <row r="4" spans="1:18" ht="14.15" customHeight="1" x14ac:dyDescent="0.35">
      <c r="A4" s="6" t="s">
        <v>6</v>
      </c>
      <c r="B4" s="6" t="s">
        <v>5</v>
      </c>
      <c r="C4" s="6" t="s">
        <v>8</v>
      </c>
      <c r="D4" s="8" t="s">
        <v>9</v>
      </c>
      <c r="E4" s="9"/>
      <c r="F4" s="9"/>
      <c r="G4" s="9"/>
      <c r="H4" s="9"/>
      <c r="I4" s="9"/>
      <c r="J4" s="9"/>
      <c r="K4" s="9"/>
      <c r="L4" s="9"/>
      <c r="M4" s="10">
        <v>20</v>
      </c>
      <c r="N4" s="10">
        <v>20</v>
      </c>
      <c r="O4" s="10">
        <v>20</v>
      </c>
      <c r="P4" s="10">
        <v>10</v>
      </c>
      <c r="Q4" s="4">
        <f t="shared" si="1"/>
        <v>70</v>
      </c>
      <c r="R4"/>
    </row>
    <row r="5" spans="1:18" ht="14.15" customHeight="1" x14ac:dyDescent="0.35">
      <c r="A5" s="6" t="s">
        <v>6</v>
      </c>
      <c r="B5" s="6" t="s">
        <v>5</v>
      </c>
      <c r="C5" s="6" t="s">
        <v>8</v>
      </c>
      <c r="D5" s="11" t="s">
        <v>26</v>
      </c>
      <c r="E5" s="9"/>
      <c r="F5" s="9"/>
      <c r="G5" s="9"/>
      <c r="H5" s="12">
        <v>10</v>
      </c>
      <c r="I5" s="12">
        <v>5</v>
      </c>
      <c r="J5" s="9"/>
      <c r="K5" s="9"/>
      <c r="L5" s="9"/>
      <c r="M5" s="9"/>
      <c r="N5" s="9"/>
      <c r="O5" s="9"/>
      <c r="P5" s="9"/>
      <c r="Q5" s="4">
        <f t="shared" si="1"/>
        <v>15</v>
      </c>
      <c r="R5"/>
    </row>
    <row r="6" spans="1:18" ht="14.15" customHeight="1" x14ac:dyDescent="0.35">
      <c r="A6" s="6" t="s">
        <v>6</v>
      </c>
      <c r="B6" s="6" t="s">
        <v>5</v>
      </c>
      <c r="C6" s="6" t="s">
        <v>8</v>
      </c>
      <c r="D6" s="11" t="s">
        <v>10</v>
      </c>
      <c r="E6" s="7">
        <v>4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4">
        <f t="shared" si="1"/>
        <v>4</v>
      </c>
      <c r="R6"/>
    </row>
    <row r="7" spans="1:18" ht="14.15" customHeight="1" x14ac:dyDescent="0.35">
      <c r="A7" s="6" t="s">
        <v>6</v>
      </c>
      <c r="B7" s="6" t="s">
        <v>5</v>
      </c>
      <c r="C7" s="6" t="s">
        <v>8</v>
      </c>
      <c r="D7" s="11" t="s">
        <v>11</v>
      </c>
      <c r="E7" s="7">
        <v>6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4">
        <f t="shared" si="1"/>
        <v>6</v>
      </c>
      <c r="R7"/>
    </row>
    <row r="8" spans="1:18" ht="14.15" customHeight="1" x14ac:dyDescent="0.35">
      <c r="A8" s="6" t="s">
        <v>6</v>
      </c>
      <c r="B8" s="6" t="s">
        <v>5</v>
      </c>
      <c r="C8" s="6" t="s">
        <v>8</v>
      </c>
      <c r="D8" s="13" t="s">
        <v>12</v>
      </c>
      <c r="E8" s="9"/>
      <c r="F8" s="9"/>
      <c r="G8" s="12">
        <v>2</v>
      </c>
      <c r="H8" s="12">
        <v>2</v>
      </c>
      <c r="I8" s="12">
        <v>2</v>
      </c>
      <c r="J8" s="12">
        <v>2</v>
      </c>
      <c r="K8" s="9"/>
      <c r="L8" s="9"/>
      <c r="M8" s="9"/>
      <c r="N8" s="9"/>
      <c r="O8" s="9"/>
      <c r="P8" s="9"/>
      <c r="Q8" s="4">
        <f t="shared" si="1"/>
        <v>8</v>
      </c>
      <c r="R8"/>
    </row>
    <row r="9" spans="1:18" ht="14.15" customHeight="1" x14ac:dyDescent="0.35">
      <c r="A9" s="6" t="s">
        <v>6</v>
      </c>
      <c r="B9" s="6" t="s">
        <v>5</v>
      </c>
      <c r="C9" s="6" t="s">
        <v>8</v>
      </c>
      <c r="D9" s="11" t="s">
        <v>27</v>
      </c>
      <c r="E9" s="9"/>
      <c r="F9" s="7">
        <v>2</v>
      </c>
      <c r="G9" s="7">
        <v>2</v>
      </c>
      <c r="H9" s="7">
        <v>2</v>
      </c>
      <c r="I9" s="9"/>
      <c r="J9" s="9"/>
      <c r="K9" s="9"/>
      <c r="L9" s="9"/>
      <c r="M9" s="9"/>
      <c r="N9" s="9"/>
      <c r="O9" s="9"/>
      <c r="P9" s="9"/>
      <c r="Q9" s="4">
        <f t="shared" si="1"/>
        <v>6</v>
      </c>
      <c r="R9"/>
    </row>
    <row r="10" spans="1:18" ht="14.15" customHeight="1" x14ac:dyDescent="0.35">
      <c r="A10" s="6" t="s">
        <v>6</v>
      </c>
      <c r="B10" s="6" t="s">
        <v>5</v>
      </c>
      <c r="C10" s="6" t="s">
        <v>8</v>
      </c>
      <c r="D10" s="11" t="s">
        <v>13</v>
      </c>
      <c r="E10" s="7">
        <v>8</v>
      </c>
      <c r="F10" s="7">
        <v>5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4">
        <f t="shared" si="1"/>
        <v>13</v>
      </c>
      <c r="R10"/>
    </row>
    <row r="11" spans="1:18" ht="14.15" customHeight="1" x14ac:dyDescent="0.35">
      <c r="A11" s="6" t="s">
        <v>6</v>
      </c>
      <c r="B11" s="6" t="s">
        <v>5</v>
      </c>
      <c r="C11" s="6" t="s">
        <v>8</v>
      </c>
      <c r="D11" s="11" t="s">
        <v>14</v>
      </c>
      <c r="E11" s="9"/>
      <c r="F11" s="9"/>
      <c r="G11" s="7">
        <v>10</v>
      </c>
      <c r="H11" s="7">
        <v>20</v>
      </c>
      <c r="I11" s="7">
        <v>20</v>
      </c>
      <c r="J11" s="7">
        <v>10</v>
      </c>
      <c r="K11" s="9"/>
      <c r="L11" s="9"/>
      <c r="M11" s="9"/>
      <c r="N11" s="9"/>
      <c r="O11" s="9"/>
      <c r="P11" s="9"/>
      <c r="Q11" s="4">
        <f t="shared" si="1"/>
        <v>60</v>
      </c>
      <c r="R11"/>
    </row>
    <row r="12" spans="1:18" ht="14.15" customHeight="1" x14ac:dyDescent="0.35">
      <c r="A12" s="6" t="s">
        <v>6</v>
      </c>
      <c r="B12" s="6" t="s">
        <v>5</v>
      </c>
      <c r="C12" s="6" t="s">
        <v>15</v>
      </c>
      <c r="D12" s="14" t="s">
        <v>16</v>
      </c>
      <c r="E12" s="9"/>
      <c r="F12" s="9"/>
      <c r="G12" s="9"/>
      <c r="H12" s="9"/>
      <c r="I12" s="9"/>
      <c r="J12" s="9"/>
      <c r="K12" s="9"/>
      <c r="L12" s="9"/>
      <c r="M12" s="9"/>
      <c r="N12" s="12">
        <v>10</v>
      </c>
      <c r="O12" s="12">
        <v>10</v>
      </c>
      <c r="P12" s="12">
        <v>10</v>
      </c>
      <c r="Q12" s="4">
        <f t="shared" si="1"/>
        <v>30</v>
      </c>
      <c r="R12"/>
    </row>
    <row r="13" spans="1:18" ht="14.15" customHeight="1" x14ac:dyDescent="0.35">
      <c r="A13" s="6" t="s">
        <v>6</v>
      </c>
      <c r="B13" s="6" t="s">
        <v>5</v>
      </c>
      <c r="C13" s="6" t="s">
        <v>15</v>
      </c>
      <c r="D13" s="14" t="s">
        <v>17</v>
      </c>
      <c r="E13" s="9"/>
      <c r="F13" s="9"/>
      <c r="G13" s="9"/>
      <c r="H13" s="12">
        <v>35</v>
      </c>
      <c r="I13" s="12">
        <v>50</v>
      </c>
      <c r="J13" s="12">
        <v>50</v>
      </c>
      <c r="K13" s="9"/>
      <c r="L13" s="9"/>
      <c r="M13" s="9"/>
      <c r="N13" s="9"/>
      <c r="O13" s="9"/>
      <c r="P13" s="9"/>
      <c r="Q13" s="4">
        <f t="shared" si="1"/>
        <v>135</v>
      </c>
      <c r="R13"/>
    </row>
    <row r="14" spans="1:18" ht="14.15" customHeight="1" x14ac:dyDescent="0.35">
      <c r="A14" s="6" t="s">
        <v>6</v>
      </c>
      <c r="B14" s="6" t="s">
        <v>5</v>
      </c>
      <c r="C14" s="6" t="s">
        <v>15</v>
      </c>
      <c r="D14" s="14" t="s">
        <v>7</v>
      </c>
      <c r="E14" s="7">
        <v>20</v>
      </c>
      <c r="F14" s="7">
        <v>20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4">
        <f t="shared" si="1"/>
        <v>40</v>
      </c>
      <c r="R14"/>
    </row>
    <row r="15" spans="1:18" ht="14.15" customHeight="1" thickBot="1" x14ac:dyDescent="0.4">
      <c r="A15" s="15" t="s">
        <v>6</v>
      </c>
      <c r="B15" s="15" t="s">
        <v>5</v>
      </c>
      <c r="C15" s="15" t="s">
        <v>8</v>
      </c>
      <c r="D15" s="16" t="s">
        <v>28</v>
      </c>
      <c r="E15" s="17"/>
      <c r="F15" s="18">
        <v>20</v>
      </c>
      <c r="G15" s="18">
        <v>20</v>
      </c>
      <c r="H15" s="18">
        <v>20</v>
      </c>
      <c r="I15" s="18">
        <v>20</v>
      </c>
      <c r="J15" s="18">
        <v>20</v>
      </c>
      <c r="K15" s="17"/>
      <c r="L15" s="17"/>
      <c r="M15" s="17"/>
      <c r="N15" s="17"/>
      <c r="O15" s="17"/>
      <c r="P15" s="17"/>
      <c r="Q15" s="19">
        <f t="shared" si="1"/>
        <v>100</v>
      </c>
      <c r="R15"/>
    </row>
    <row r="16" spans="1:18" ht="15" thickTop="1" x14ac:dyDescent="0.35">
      <c r="A16" s="20"/>
      <c r="B16" s="20"/>
      <c r="C16" s="20"/>
      <c r="D16" s="21" t="s">
        <v>6</v>
      </c>
      <c r="E16" s="22">
        <f>SUMIF($A$2:$A$15,$D16,E$2:E$15)</f>
        <v>38</v>
      </c>
      <c r="F16" s="22">
        <f t="shared" ref="F16:P17" si="2">SUMIF($A$2:$A$15,$D16,F$2:F$15)</f>
        <v>47</v>
      </c>
      <c r="G16" s="22">
        <f t="shared" si="2"/>
        <v>34</v>
      </c>
      <c r="H16" s="22">
        <f t="shared" si="2"/>
        <v>89</v>
      </c>
      <c r="I16" s="22">
        <f t="shared" si="2"/>
        <v>97</v>
      </c>
      <c r="J16" s="22">
        <f t="shared" si="2"/>
        <v>82</v>
      </c>
      <c r="K16" s="22">
        <f t="shared" si="2"/>
        <v>0</v>
      </c>
      <c r="L16" s="22">
        <f t="shared" si="2"/>
        <v>0</v>
      </c>
      <c r="M16" s="22">
        <f t="shared" si="2"/>
        <v>20</v>
      </c>
      <c r="N16" s="22">
        <f t="shared" si="2"/>
        <v>30</v>
      </c>
      <c r="O16" s="22">
        <f t="shared" si="2"/>
        <v>30</v>
      </c>
      <c r="P16" s="22">
        <f t="shared" si="2"/>
        <v>20</v>
      </c>
      <c r="Q16" s="23">
        <f>SUM(E16:P16)</f>
        <v>487</v>
      </c>
      <c r="R16"/>
    </row>
    <row r="17" spans="1:18" ht="14.5" x14ac:dyDescent="0.35">
      <c r="A17" s="6"/>
      <c r="B17" s="6"/>
      <c r="C17" s="6"/>
      <c r="D17" s="9" t="s">
        <v>4</v>
      </c>
      <c r="E17" s="24">
        <f>SUMIF($A$2:$A$15,$D17,E$2:E$15)</f>
        <v>32</v>
      </c>
      <c r="F17" s="24">
        <f t="shared" si="2"/>
        <v>32</v>
      </c>
      <c r="G17" s="24">
        <f t="shared" si="2"/>
        <v>32</v>
      </c>
      <c r="H17" s="24">
        <f t="shared" si="2"/>
        <v>32</v>
      </c>
      <c r="I17" s="24">
        <f t="shared" si="2"/>
        <v>32</v>
      </c>
      <c r="J17" s="24">
        <f t="shared" si="2"/>
        <v>32</v>
      </c>
      <c r="K17" s="24">
        <f t="shared" si="2"/>
        <v>32</v>
      </c>
      <c r="L17" s="25">
        <v>10</v>
      </c>
      <c r="M17" s="24">
        <f t="shared" si="2"/>
        <v>32</v>
      </c>
      <c r="N17" s="24">
        <f>SUMIF($A$2:$A$15,$D17,N$2:N$15)</f>
        <v>32</v>
      </c>
      <c r="O17" s="24">
        <f t="shared" si="2"/>
        <v>32</v>
      </c>
      <c r="P17" s="24">
        <f t="shared" si="2"/>
        <v>32</v>
      </c>
      <c r="Q17" s="26">
        <f>SUM(E17:P17)</f>
        <v>362</v>
      </c>
      <c r="R17"/>
    </row>
    <row r="18" spans="1:18" ht="14.5" x14ac:dyDescent="0.35">
      <c r="A18" s="6"/>
      <c r="B18" s="6"/>
      <c r="C18" s="6"/>
      <c r="D18" s="9" t="s">
        <v>20</v>
      </c>
      <c r="E18" s="24">
        <f t="shared" ref="E18:P18" si="3">E16+E17</f>
        <v>70</v>
      </c>
      <c r="F18" s="24">
        <f t="shared" si="3"/>
        <v>79</v>
      </c>
      <c r="G18" s="24">
        <f t="shared" si="3"/>
        <v>66</v>
      </c>
      <c r="H18" s="24">
        <f t="shared" si="3"/>
        <v>121</v>
      </c>
      <c r="I18" s="24">
        <f t="shared" si="3"/>
        <v>129</v>
      </c>
      <c r="J18" s="24">
        <f t="shared" si="3"/>
        <v>114</v>
      </c>
      <c r="K18" s="24">
        <f t="shared" si="3"/>
        <v>32</v>
      </c>
      <c r="L18" s="24">
        <f t="shared" si="3"/>
        <v>10</v>
      </c>
      <c r="M18" s="24">
        <f t="shared" si="3"/>
        <v>52</v>
      </c>
      <c r="N18" s="24">
        <f t="shared" si="3"/>
        <v>62</v>
      </c>
      <c r="O18" s="24">
        <f t="shared" si="3"/>
        <v>62</v>
      </c>
      <c r="P18" s="24">
        <f t="shared" si="3"/>
        <v>52</v>
      </c>
      <c r="Q18" s="26">
        <f>SUM(E18:P18)</f>
        <v>849</v>
      </c>
      <c r="R18"/>
    </row>
    <row r="19" spans="1:18" ht="14.5" x14ac:dyDescent="0.35">
      <c r="A19" s="6"/>
      <c r="B19" s="6"/>
      <c r="C19" s="6"/>
      <c r="D19" s="9" t="s">
        <v>8</v>
      </c>
      <c r="E19" s="24">
        <f>SUMIF($C$2:$C$15,$D19,E$2:E$15)</f>
        <v>39</v>
      </c>
      <c r="F19" s="24">
        <f t="shared" ref="F19:P20" si="4">SUMIF($C$2:$C$15,$D19,F$2:F$15)</f>
        <v>48</v>
      </c>
      <c r="G19" s="24">
        <f t="shared" si="4"/>
        <v>55</v>
      </c>
      <c r="H19" s="24">
        <f t="shared" si="4"/>
        <v>75</v>
      </c>
      <c r="I19" s="24">
        <f t="shared" si="4"/>
        <v>68</v>
      </c>
      <c r="J19" s="24">
        <f t="shared" si="4"/>
        <v>53</v>
      </c>
      <c r="K19" s="24">
        <f t="shared" si="4"/>
        <v>21</v>
      </c>
      <c r="L19" s="24">
        <f t="shared" si="4"/>
        <v>21</v>
      </c>
      <c r="M19" s="24">
        <f t="shared" si="4"/>
        <v>41</v>
      </c>
      <c r="N19" s="24">
        <f t="shared" si="4"/>
        <v>41</v>
      </c>
      <c r="O19" s="24">
        <f t="shared" si="4"/>
        <v>41</v>
      </c>
      <c r="P19" s="24">
        <f t="shared" si="4"/>
        <v>31</v>
      </c>
      <c r="Q19" s="26">
        <f t="shared" ref="Q19:Q20" si="5">SUM(E19:P19)</f>
        <v>534</v>
      </c>
      <c r="R19"/>
    </row>
    <row r="20" spans="1:18" ht="14.5" x14ac:dyDescent="0.35">
      <c r="A20" s="6"/>
      <c r="B20" s="6"/>
      <c r="C20" s="6"/>
      <c r="D20" s="9" t="s">
        <v>15</v>
      </c>
      <c r="E20" s="24">
        <f>SUMIF($C$2:$C$15,$D20,E$2:E$15)</f>
        <v>31</v>
      </c>
      <c r="F20" s="24">
        <f t="shared" si="4"/>
        <v>31</v>
      </c>
      <c r="G20" s="24">
        <f t="shared" si="4"/>
        <v>11</v>
      </c>
      <c r="H20" s="24">
        <f t="shared" si="4"/>
        <v>46</v>
      </c>
      <c r="I20" s="24">
        <f t="shared" si="4"/>
        <v>61</v>
      </c>
      <c r="J20" s="24">
        <f t="shared" si="4"/>
        <v>61</v>
      </c>
      <c r="K20" s="24">
        <f t="shared" si="4"/>
        <v>11</v>
      </c>
      <c r="L20" s="24">
        <f t="shared" si="4"/>
        <v>11</v>
      </c>
      <c r="M20" s="24">
        <f t="shared" si="4"/>
        <v>11</v>
      </c>
      <c r="N20" s="24">
        <f t="shared" si="4"/>
        <v>21</v>
      </c>
      <c r="O20" s="24">
        <f t="shared" si="4"/>
        <v>21</v>
      </c>
      <c r="P20" s="24">
        <f t="shared" si="4"/>
        <v>21</v>
      </c>
      <c r="Q20" s="26">
        <f t="shared" si="5"/>
        <v>337</v>
      </c>
      <c r="R20"/>
    </row>
    <row r="21" spans="1:18" ht="14.5" x14ac:dyDescent="0.35">
      <c r="A21" s="6"/>
      <c r="B21" s="6"/>
      <c r="C21" s="6"/>
      <c r="D21" s="9" t="s">
        <v>21</v>
      </c>
      <c r="E21" s="9">
        <v>17</v>
      </c>
      <c r="F21" s="9">
        <v>20</v>
      </c>
      <c r="G21" s="9">
        <v>22</v>
      </c>
      <c r="H21" s="9">
        <v>18</v>
      </c>
      <c r="I21" s="9">
        <v>18</v>
      </c>
      <c r="J21" s="9">
        <v>21</v>
      </c>
      <c r="K21" s="9">
        <v>20</v>
      </c>
      <c r="L21" s="9">
        <v>10</v>
      </c>
      <c r="M21" s="9">
        <v>21</v>
      </c>
      <c r="N21" s="9">
        <v>20</v>
      </c>
      <c r="O21" s="9">
        <v>20</v>
      </c>
      <c r="P21" s="9">
        <v>16</v>
      </c>
      <c r="Q21" s="26">
        <f>SUM(E21:P21)</f>
        <v>223</v>
      </c>
      <c r="R21"/>
    </row>
    <row r="22" spans="1:18" ht="14.5" x14ac:dyDescent="0.35">
      <c r="A22" s="6"/>
      <c r="B22" s="6"/>
      <c r="C22" s="6"/>
      <c r="D22" s="9" t="s">
        <v>22</v>
      </c>
      <c r="E22" s="27">
        <f>E17/E21</f>
        <v>1.8823529411764706</v>
      </c>
      <c r="F22" s="27">
        <f t="shared" ref="F22:P22" si="6">F17/F21</f>
        <v>1.6</v>
      </c>
      <c r="G22" s="27">
        <f t="shared" si="6"/>
        <v>1.4545454545454546</v>
      </c>
      <c r="H22" s="27">
        <f t="shared" si="6"/>
        <v>1.7777777777777777</v>
      </c>
      <c r="I22" s="27">
        <f t="shared" si="6"/>
        <v>1.7777777777777777</v>
      </c>
      <c r="J22" s="27">
        <f t="shared" si="6"/>
        <v>1.5238095238095237</v>
      </c>
      <c r="K22" s="27">
        <f t="shared" si="6"/>
        <v>1.6</v>
      </c>
      <c r="L22" s="27">
        <f>L17/L21</f>
        <v>1</v>
      </c>
      <c r="M22" s="27">
        <f t="shared" si="6"/>
        <v>1.5238095238095237</v>
      </c>
      <c r="N22" s="27">
        <f t="shared" si="6"/>
        <v>1.6</v>
      </c>
      <c r="O22" s="27">
        <f t="shared" si="6"/>
        <v>1.6</v>
      </c>
      <c r="P22" s="27">
        <f t="shared" si="6"/>
        <v>2</v>
      </c>
      <c r="Q22" s="28">
        <f>SUM(E22:P22)</f>
        <v>19.340072998896527</v>
      </c>
      <c r="R22"/>
    </row>
    <row r="23" spans="1:18" ht="14.5" x14ac:dyDescent="0.35">
      <c r="A23" s="6"/>
      <c r="B23" s="6"/>
      <c r="C23" s="6"/>
      <c r="D23" s="9" t="s">
        <v>23</v>
      </c>
      <c r="E23" s="27">
        <f>E16/E21</f>
        <v>2.2352941176470589</v>
      </c>
      <c r="F23" s="27">
        <f t="shared" ref="F23:P23" si="7">F16/F21</f>
        <v>2.35</v>
      </c>
      <c r="G23" s="27">
        <f t="shared" si="7"/>
        <v>1.5454545454545454</v>
      </c>
      <c r="H23" s="27">
        <f t="shared" si="7"/>
        <v>4.9444444444444446</v>
      </c>
      <c r="I23" s="27">
        <f t="shared" si="7"/>
        <v>5.3888888888888893</v>
      </c>
      <c r="J23" s="27">
        <f t="shared" si="7"/>
        <v>3.9047619047619047</v>
      </c>
      <c r="K23" s="27">
        <f t="shared" si="7"/>
        <v>0</v>
      </c>
      <c r="L23" s="27">
        <f t="shared" si="7"/>
        <v>0</v>
      </c>
      <c r="M23" s="27">
        <f t="shared" si="7"/>
        <v>0.95238095238095233</v>
      </c>
      <c r="N23" s="27">
        <f t="shared" si="7"/>
        <v>1.5</v>
      </c>
      <c r="O23" s="27">
        <f t="shared" si="7"/>
        <v>1.5</v>
      </c>
      <c r="P23" s="27">
        <f t="shared" si="7"/>
        <v>1.25</v>
      </c>
      <c r="Q23" s="28">
        <f>SUM(E23:P23)</f>
        <v>25.571224853577796</v>
      </c>
      <c r="R23"/>
    </row>
    <row r="24" spans="1:18" ht="14.5" x14ac:dyDescent="0.35">
      <c r="A24" s="6"/>
      <c r="B24" s="6"/>
      <c r="C24" s="6"/>
      <c r="D24" s="9" t="s">
        <v>24</v>
      </c>
      <c r="E24" s="27">
        <f>E22+E23</f>
        <v>4.117647058823529</v>
      </c>
      <c r="F24" s="27">
        <f t="shared" ref="F24:P24" si="8">F22+F23</f>
        <v>3.95</v>
      </c>
      <c r="G24" s="27">
        <f t="shared" si="8"/>
        <v>3</v>
      </c>
      <c r="H24" s="27">
        <f t="shared" si="8"/>
        <v>6.7222222222222223</v>
      </c>
      <c r="I24" s="27">
        <f t="shared" si="8"/>
        <v>7.166666666666667</v>
      </c>
      <c r="J24" s="27">
        <f t="shared" si="8"/>
        <v>5.4285714285714288</v>
      </c>
      <c r="K24" s="27">
        <f t="shared" si="8"/>
        <v>1.6</v>
      </c>
      <c r="L24" s="27">
        <f t="shared" si="8"/>
        <v>1</v>
      </c>
      <c r="M24" s="27">
        <f t="shared" si="8"/>
        <v>2.4761904761904763</v>
      </c>
      <c r="N24" s="27">
        <f t="shared" si="8"/>
        <v>3.1</v>
      </c>
      <c r="O24" s="27">
        <f t="shared" si="8"/>
        <v>3.1</v>
      </c>
      <c r="P24" s="27">
        <f t="shared" si="8"/>
        <v>3.25</v>
      </c>
      <c r="Q24" s="28">
        <f>SUM(E24:P24)</f>
        <v>44.911297852474327</v>
      </c>
      <c r="R24"/>
    </row>
    <row r="32" spans="1:18" x14ac:dyDescent="0.3">
      <c r="H32" s="29"/>
    </row>
    <row r="47" customFormat="1" ht="14.5" x14ac:dyDescent="0.35"/>
    <row r="48" customFormat="1" ht="14.5" x14ac:dyDescent="0.35"/>
    <row r="49" customFormat="1" ht="14.5" x14ac:dyDescent="0.35"/>
    <row r="50" customFormat="1" ht="14.5" x14ac:dyDescent="0.35"/>
    <row r="51" customFormat="1" ht="14.5" x14ac:dyDescent="0.35"/>
    <row r="52" customFormat="1" ht="14.5" x14ac:dyDescent="0.35"/>
    <row r="53" customFormat="1" ht="14.5" x14ac:dyDescent="0.35"/>
    <row r="54" customFormat="1" ht="14.5" x14ac:dyDescent="0.35"/>
    <row r="55" customFormat="1" ht="14.5" x14ac:dyDescent="0.35"/>
    <row r="56" customFormat="1" ht="14.5" x14ac:dyDescent="0.35"/>
    <row r="57" customFormat="1" ht="14.5" x14ac:dyDescent="0.35"/>
    <row r="58" customFormat="1" ht="14.5" x14ac:dyDescent="0.35"/>
    <row r="59" customFormat="1" ht="14.5" x14ac:dyDescent="0.35"/>
    <row r="60" customFormat="1" ht="14.5" x14ac:dyDescent="0.35"/>
    <row r="61" customFormat="1" ht="14.5" x14ac:dyDescent="0.35"/>
    <row r="62" customFormat="1" ht="14.5" x14ac:dyDescent="0.35"/>
    <row r="63" customFormat="1" ht="14.5" x14ac:dyDescent="0.35"/>
    <row r="64" customFormat="1" ht="14.5" x14ac:dyDescent="0.35"/>
    <row r="65" customFormat="1" ht="14.5" x14ac:dyDescent="0.35"/>
    <row r="66" customFormat="1" ht="14.5" x14ac:dyDescent="0.35"/>
    <row r="67" customFormat="1" ht="14.5" x14ac:dyDescent="0.35"/>
    <row r="68" customFormat="1" ht="14.5" x14ac:dyDescent="0.35"/>
    <row r="69" customFormat="1" ht="14.5" x14ac:dyDescent="0.35"/>
    <row r="70" customFormat="1" ht="14.5" x14ac:dyDescent="0.35"/>
    <row r="71" customFormat="1" ht="14.5" x14ac:dyDescent="0.35"/>
    <row r="72" customFormat="1" ht="14.5" x14ac:dyDescent="0.35"/>
    <row r="73" customFormat="1" ht="14.5" x14ac:dyDescent="0.35"/>
    <row r="74" customFormat="1" ht="14.5" x14ac:dyDescent="0.35"/>
    <row r="75" customFormat="1" ht="14.5" x14ac:dyDescent="0.35"/>
    <row r="76" customFormat="1" ht="14.5" x14ac:dyDescent="0.35"/>
    <row r="77" customFormat="1" ht="14.5" x14ac:dyDescent="0.35"/>
    <row r="78" customFormat="1" ht="14.5" x14ac:dyDescent="0.35"/>
    <row r="79" customFormat="1" ht="14.5" x14ac:dyDescent="0.35"/>
    <row r="80" customFormat="1" ht="14.5" x14ac:dyDescent="0.35"/>
    <row r="81" spans="1:19" customFormat="1" ht="14.5" x14ac:dyDescent="0.35"/>
    <row r="82" spans="1:19" customFormat="1" ht="14.5" x14ac:dyDescent="0.35"/>
    <row r="83" spans="1:19" customFormat="1" ht="14.5" x14ac:dyDescent="0.35"/>
    <row r="84" spans="1:19" customFormat="1" ht="14.5" x14ac:dyDescent="0.35"/>
    <row r="85" spans="1:19" customFormat="1" ht="14.5" x14ac:dyDescent="0.35"/>
    <row r="86" spans="1:19" customFormat="1" ht="14.5" x14ac:dyDescent="0.35"/>
    <row r="87" spans="1:19" customFormat="1" ht="14.5" x14ac:dyDescent="0.35"/>
    <row r="88" spans="1:19" ht="14.5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 ht="14.5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 ht="14.5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 ht="14.5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 ht="14.5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 ht="14.5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1:19" ht="14.5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1:19" ht="14.5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1:19" ht="14.5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1:19" ht="14.5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1:19" ht="14.5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1:19" ht="14.5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1:19" ht="14.5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1:19" ht="14.5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19" ht="14.5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1:19" ht="14.5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1:19" ht="14.5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1:19" ht="14.5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1:19" ht="14.5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 spans="1:19" ht="14.5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 spans="1:19" ht="14.5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 spans="1:19" ht="14.5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 spans="1:19" ht="14.5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 spans="1:19" ht="14.5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 spans="1:19" ht="14.5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 spans="1:19" ht="14.5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 spans="1:19" ht="14.5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 spans="1:19" ht="14.5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 spans="1:19" ht="14.5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 spans="1:19" ht="14.5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 spans="1:19" ht="14.5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 spans="1:19" ht="14.5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 spans="1:19" ht="14.5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 spans="1:19" ht="14.5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ht="14.5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 spans="1:19" ht="14.5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 spans="1:19" ht="14.5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 spans="1:19" ht="14.5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 spans="1:19" ht="14.5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 spans="1:19" ht="14.5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  <row r="128" spans="1:19" ht="14.5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 spans="1:19" ht="14.5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 spans="1:19" ht="14.5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</row>
    <row r="131" spans="1:19" ht="14.5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</row>
    <row r="132" spans="1:19" ht="14.5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 spans="1:19" ht="14.5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</row>
    <row r="134" spans="1:19" ht="14.5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</row>
    <row r="135" spans="1:19" ht="14.5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</row>
  </sheetData>
  <pageMargins left="0.7" right="0.7" top="0.75" bottom="0.75" header="0.3" footer="0.3"/>
  <pageSetup paperSize="9" orientation="portrait" r:id="rId1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Scheduling Feq-Data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Passaro</dc:creator>
  <cp:lastModifiedBy>Luca Passaro</cp:lastModifiedBy>
  <dcterms:created xsi:type="dcterms:W3CDTF">2026-03-19T13:43:32Z</dcterms:created>
  <dcterms:modified xsi:type="dcterms:W3CDTF">2026-03-19T13:45:54Z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4e68b6-2567-46d2-bcf9-c31e5a51a8b5_Enabled">
    <vt:lpwstr>true</vt:lpwstr>
  </property>
  <property fmtid="{D5CDD505-2E9C-101B-9397-08002B2CF9AE}" pid="3" name="MSIP_Label_024e68b6-2567-46d2-bcf9-c31e5a51a8b5_SetDate">
    <vt:lpwstr>2026-03-19T13:45:20Z</vt:lpwstr>
  </property>
  <property fmtid="{D5CDD505-2E9C-101B-9397-08002B2CF9AE}" pid="4" name="MSIP_Label_024e68b6-2567-46d2-bcf9-c31e5a51a8b5_Method">
    <vt:lpwstr>Standard</vt:lpwstr>
  </property>
  <property fmtid="{D5CDD505-2E9C-101B-9397-08002B2CF9AE}" pid="5" name="MSIP_Label_024e68b6-2567-46d2-bcf9-c31e5a51a8b5_Name">
    <vt:lpwstr>Internal use</vt:lpwstr>
  </property>
  <property fmtid="{D5CDD505-2E9C-101B-9397-08002B2CF9AE}" pid="6" name="MSIP_Label_024e68b6-2567-46d2-bcf9-c31e5a51a8b5_SiteId">
    <vt:lpwstr>268996b6-3efa-4a68-96a7-1e6166de157a</vt:lpwstr>
  </property>
  <property fmtid="{D5CDD505-2E9C-101B-9397-08002B2CF9AE}" pid="7" name="MSIP_Label_024e68b6-2567-46d2-bcf9-c31e5a51a8b5_ActionId">
    <vt:lpwstr>5855e056-0897-418f-bb1c-aac2a526db62</vt:lpwstr>
  </property>
  <property fmtid="{D5CDD505-2E9C-101B-9397-08002B2CF9AE}" pid="8" name="MSIP_Label_024e68b6-2567-46d2-bcf9-c31e5a51a8b5_ContentBits">
    <vt:lpwstr>0</vt:lpwstr>
  </property>
  <property fmtid="{D5CDD505-2E9C-101B-9397-08002B2CF9AE}" pid="9" name="MSIP_Label_024e68b6-2567-46d2-bcf9-c31e5a51a8b5_Tag">
    <vt:lpwstr>10, 3, 0, 1</vt:lpwstr>
  </property>
</Properties>
</file>